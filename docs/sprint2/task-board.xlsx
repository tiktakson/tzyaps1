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ринт №2" sheetId="1" r:id="rId5"/>
  </sheets>
  <definedNames/>
  <calcPr/>
</workbook>
</file>

<file path=xl/sharedStrings.xml><?xml version="1.0" encoding="utf-8"?>
<sst xmlns="http://schemas.openxmlformats.org/spreadsheetml/2006/main" count="103" uniqueCount="66">
  <si>
    <t>ТАБЛИЦЯ РОЗПОДІЛУ ЗАДАЧ СПРИНТА (Шаблон 2)</t>
  </si>
  <si>
    <t>📌 Заповнюється Скрам-майстром на Sprint Planning на основі декомпозиції КТ, оновлюється під час спринта та здається з інкрементом на Demo. Оцінювання виконання ролі — 3 бали; незданий вчасно артефакт — штраф −1 бал команді.</t>
  </si>
  <si>
    <t>Команда:</t>
  </si>
  <si>
    <t>Команда №1</t>
  </si>
  <si>
    <t>Всього задач</t>
  </si>
  <si>
    <t>Заплановано год</t>
  </si>
  <si>
    <t>Факт год</t>
  </si>
  <si>
    <t>% виконання</t>
  </si>
  <si>
    <t>СтейНау</t>
  </si>
  <si>
    <t>Дата планування:</t>
  </si>
  <si>
    <t>№</t>
  </si>
  <si>
    <t>Задача / підзадача</t>
  </si>
  <si>
    <t>Роль</t>
  </si>
  <si>
    <t>Виконавець</t>
  </si>
  <si>
    <t>Оцінка, год</t>
  </si>
  <si>
    <t>Факт, год</t>
  </si>
  <si>
    <t>Статус</t>
  </si>
  <si>
    <t>Артефакт / посилання</t>
  </si>
  <si>
    <t>Рецензент</t>
  </si>
  <si>
    <t>Перевірка розділу 1 "Вступ"</t>
  </si>
  <si>
    <t>ІТ, СМ</t>
  </si>
  <si>
    <t>Оніщук Ілля, Дубчак Богдан</t>
  </si>
  <si>
    <t>готово</t>
  </si>
  <si>
    <t>Реєстрдефектів вимог СВ</t>
  </si>
  <si>
    <t>Перевірка розділу 2 "Загальний опис"</t>
  </si>
  <si>
    <t>ТА, КТ</t>
  </si>
  <si>
    <t>Однораз Олександр, Свідзінський Антон</t>
  </si>
  <si>
    <t>Перевірка розділу 3 "Функціональні вимоги" SRS</t>
  </si>
  <si>
    <t>ІТ, ТА</t>
  </si>
  <si>
    <t>Оніщук Ілля, Свідзінський Антон</t>
  </si>
  <si>
    <t>Перевірка розділу 4 "Вимоги до інтерфейсу користувача" SRS</t>
  </si>
  <si>
    <t>Свідзінський Антон, Однораз Олександр</t>
  </si>
  <si>
    <t>Перевірка розділу 5 "Вимоги до бізнес модулю" SRS</t>
  </si>
  <si>
    <t>ТА, СМ</t>
  </si>
  <si>
    <t>Однораз Олександр, Дубчак Богдан</t>
  </si>
  <si>
    <t>Перевірка розділу 6 "Нефункціональні вимоги" SRS</t>
  </si>
  <si>
    <t>СМ, ІТ</t>
  </si>
  <si>
    <t>Дубчак Богдан, Оніщук Ілля</t>
  </si>
  <si>
    <t>Зведення результатів аудиту в єдиний Реєстр дефектів вимог, дедуплікація та класифікація за 6 критеріями</t>
  </si>
  <si>
    <t>ТА</t>
  </si>
  <si>
    <t>Свідзінський Антон</t>
  </si>
  <si>
    <t xml:space="preserve">docs/sprint2/requirements-defects.xlsx (аркуш Реєстр) </t>
  </si>
  <si>
    <t>Однораз Олександр</t>
  </si>
  <si>
    <t>Модерація зведення, розбір спірних дефектів та формування переліку питань замовнику</t>
  </si>
  <si>
    <t>КТ</t>
  </si>
  <si>
    <t>docs/sprint2/requirements-defects.xlsx (аркуш Спірні)</t>
  </si>
  <si>
    <t>Дубчак Богдан</t>
  </si>
  <si>
    <t>Підготовка виправленої специфікації вимог SRS 1.1 та оформлення журналу змін</t>
  </si>
  <si>
    <t>docs/sprint2/SRS-1.1.md</t>
  </si>
  <si>
    <t>Розроблення Плану тестування продукту "СтейНау" (межі, середовище, тестові дані, ризики)</t>
  </si>
  <si>
    <t>ІТ</t>
  </si>
  <si>
    <t>Оніщук Ілля</t>
  </si>
  <si>
    <t>docs/sprint2/test-plan.md (розд. 1, 5, 6)</t>
  </si>
  <si>
    <t>Опис усіх 7 рівнів тестування та застосовних типів тестування (≥12 типів) із Ціллю, Описом, пріоритетами та інструментами</t>
  </si>
  <si>
    <t>docs/sprint2/test-plan.md (розд. 2, 3)</t>
  </si>
  <si>
    <t>Обґрунтування незастосовних типів тестування (з 24) та узгодження пріоритетів плану</t>
  </si>
  <si>
    <t>docs/sprint2/test-plan.md (розд. 4)</t>
  </si>
  <si>
    <t>Ведення таблиці задач і standup, рецензування реєстру дефектів вимог і плану тестування за чек-листами та оновлення статуту</t>
  </si>
  <si>
    <t>СМ</t>
  </si>
  <si>
    <t>docs/sprint2/task-board.xlsx, docs/team/charter.md</t>
  </si>
  <si>
    <t>Підготовка презентації Demo (10 хв) та репетиція відповідей команди на бліц-питання спринта</t>
  </si>
  <si>
    <t>Слайди / тези виступу</t>
  </si>
  <si>
    <t>Проведення ретроспективи Спринту 2 та складання протоколу Start / Stop / Continue</t>
  </si>
  <si>
    <t>до виконання</t>
  </si>
  <si>
    <t>docs/sprint2/retro-sprint2.md</t>
  </si>
  <si>
    <t>Разом: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</si>
</sst>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0.0"/>
    <numFmt numFmtId="166" formatCode="0.0%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4.0"/>
      <color rgb="FF1E2D60"/>
      <name val="Arial"/>
    </font>
    <font/>
    <font>
      <i/>
      <sz val="12.0"/>
      <color rgb="FF596072"/>
      <name val="Arial"/>
    </font>
    <font>
      <sz val="12.0"/>
      <color rgb="FF191926"/>
      <name val="Arial"/>
    </font>
    <font>
      <b/>
      <sz val="12.0"/>
      <color rgb="FF424759"/>
      <name val="Arial"/>
    </font>
    <font>
      <b/>
      <sz val="12.0"/>
      <color rgb="FFFFFFFF"/>
      <name val="Arial"/>
    </font>
    <font>
      <b/>
      <sz val="12.0"/>
      <color rgb="FF1E2D60"/>
      <name val="Arial"/>
    </font>
    <font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EF0F9"/>
        <bgColor rgb="FFEEF0F9"/>
      </patternFill>
    </fill>
    <fill>
      <patternFill patternType="solid">
        <fgColor rgb="FFF7F8FC"/>
        <bgColor rgb="FFF7F8FC"/>
      </patternFill>
    </fill>
    <fill>
      <patternFill patternType="solid">
        <fgColor rgb="FFEDEFF7"/>
        <bgColor rgb="FFEDEFF7"/>
      </patternFill>
    </fill>
    <fill>
      <patternFill patternType="solid">
        <fgColor rgb="FFFFFFFF"/>
        <bgColor rgb="FFFFFFFF"/>
      </patternFill>
    </fill>
    <fill>
      <patternFill patternType="solid">
        <fgColor rgb="FF4E5B92"/>
        <bgColor rgb="FF4E5B92"/>
      </patternFill>
    </fill>
    <fill>
      <patternFill patternType="solid">
        <fgColor rgb="FFF2F4FC"/>
        <bgColor rgb="FFF2F4FC"/>
      </patternFill>
    </fill>
    <fill>
      <patternFill patternType="solid">
        <fgColor rgb="FFF8F9FD"/>
        <bgColor rgb="FFF8F9FD"/>
      </patternFill>
    </fill>
  </fills>
  <borders count="33">
    <border/>
    <border>
      <left style="thin">
        <color rgb="FFAFB4C7"/>
      </left>
      <top style="thin">
        <color rgb="FFAFB4C7"/>
      </top>
      <bottom style="thin">
        <color rgb="FFD8DBE5"/>
      </bottom>
    </border>
    <border>
      <top style="thin">
        <color rgb="FFAFB4C7"/>
      </top>
      <bottom style="thin">
        <color rgb="FFD8DBE5"/>
      </bottom>
    </border>
    <border>
      <right style="thin">
        <color rgb="FFAFB4C7"/>
      </right>
      <top style="thin">
        <color rgb="FFAFB4C7"/>
      </top>
      <bottom style="thin">
        <color rgb="FFD8DBE5"/>
      </bottom>
    </border>
    <border>
      <left style="thin">
        <color rgb="FFAFB4C7"/>
      </left>
      <top style="thin">
        <color rgb="FFD8DBE5"/>
      </top>
      <bottom style="thin">
        <color rgb="FFAFB4C7"/>
      </bottom>
    </border>
    <border>
      <top style="thin">
        <color rgb="FFD8DBE5"/>
      </top>
      <bottom style="thin">
        <color rgb="FFAFB4C7"/>
      </bottom>
    </border>
    <border>
      <right style="thin">
        <color rgb="FFAFB4C7"/>
      </right>
      <top style="thin">
        <color rgb="FFD8DBE5"/>
      </top>
      <bottom style="thin">
        <color rgb="FFAFB4C7"/>
      </bottom>
    </border>
    <border>
      <left style="thin">
        <color rgb="FFAFB4C7"/>
      </left>
      <right style="thin">
        <color rgb="FFD8DBE5"/>
      </right>
      <top style="thin">
        <color rgb="FFAFB4C7"/>
      </top>
      <bottom style="thin">
        <color rgb="FFD8DBE5"/>
      </bottom>
    </border>
    <border>
      <left style="thin">
        <color rgb="FFD8DBE5"/>
      </left>
      <right style="thin">
        <color rgb="FFD8DBE5"/>
      </right>
      <top style="thin">
        <color rgb="FFAFB4C7"/>
      </top>
      <bottom style="thin">
        <color rgb="FFD8DBE5"/>
      </bottom>
    </border>
    <border>
      <left style="thin">
        <color rgb="FFD8DBE5"/>
      </left>
      <right style="thin">
        <color rgb="FFAFB4C7"/>
      </right>
      <top style="thin">
        <color rgb="FFAFB4C7"/>
      </top>
      <bottom style="thin">
        <color rgb="FFD8DBE5"/>
      </bottom>
    </border>
    <border>
      <left style="thin">
        <color rgb="FF4E5B92"/>
      </left>
      <right style="thin">
        <color rgb="FFD8DBE5"/>
      </right>
      <top style="thin">
        <color rgb="FF4E5B92"/>
      </top>
      <bottom style="thin">
        <color rgb="FFD8DBE5"/>
      </bottom>
    </border>
    <border>
      <left style="thin">
        <color rgb="FFD8DBE5"/>
      </left>
      <right style="thin">
        <color rgb="FFD8DBE5"/>
      </right>
      <top style="thin">
        <color rgb="FF4E5B92"/>
      </top>
      <bottom style="thin">
        <color rgb="FFD8DBE5"/>
      </bottom>
    </border>
    <border>
      <left style="thin">
        <color rgb="FFD8DBE5"/>
      </left>
      <right style="thin">
        <color rgb="FF4E5B92"/>
      </right>
      <top style="thin">
        <color rgb="FF4E5B92"/>
      </top>
      <bottom style="thin">
        <color rgb="FFD8DBE5"/>
      </bottom>
    </border>
    <border>
      <left style="thin">
        <color rgb="FFAFB4C7"/>
      </left>
      <right style="thin">
        <color rgb="FFD8DBE5"/>
      </right>
      <top style="thin">
        <color rgb="FFD8DBE5"/>
      </top>
      <bottom style="thin">
        <color rgb="FFAFB4C7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thin">
        <color rgb="FFAFB4C7"/>
      </bottom>
    </border>
    <border>
      <left style="thin">
        <color rgb="FFD8DBE5"/>
      </left>
      <right style="thin">
        <color rgb="FFAFB4C7"/>
      </right>
      <top style="thin">
        <color rgb="FFD8DBE5"/>
      </top>
      <bottom style="thin">
        <color rgb="FFAFB4C7"/>
      </bottom>
    </border>
    <border>
      <left style="thin">
        <color rgb="FF4E5B92"/>
      </left>
      <right style="thin">
        <color rgb="FFD8DBE5"/>
      </right>
      <top style="thin">
        <color rgb="FFD8DBE5"/>
      </top>
      <bottom style="thin">
        <color rgb="FF4E5B92"/>
      </bottom>
    </border>
    <border>
      <left style="thin">
        <color rgb="FFD8DBE5"/>
      </left>
      <right style="thin">
        <color rgb="FFD8DBE5"/>
      </right>
      <top style="thin">
        <color rgb="FFD8DBE5"/>
      </top>
      <bottom style="thin">
        <color rgb="FF4E5B92"/>
      </bottom>
    </border>
    <border>
      <left style="thin">
        <color rgb="FFD8DBE5"/>
      </left>
      <right style="thin">
        <color rgb="FF4E5B92"/>
      </right>
      <top style="thin">
        <color rgb="FFD8DBE5"/>
      </top>
      <bottom style="thin">
        <color rgb="FF4E5B92"/>
      </bottom>
    </border>
    <border>
      <left style="thin">
        <color rgb="FFAFB4C7"/>
      </left>
      <right style="thin">
        <color rgb="FFE0E2ED"/>
      </right>
      <top style="thin">
        <color rgb="FF4E5B92"/>
      </top>
      <bottom style="thin">
        <color rgb="FFE0E2ED"/>
      </bottom>
    </border>
    <border>
      <left style="thin">
        <color rgb="FFE0E2ED"/>
      </left>
      <right style="thin">
        <color rgb="FFE0E2ED"/>
      </right>
      <top style="thin">
        <color rgb="FF4E5B92"/>
      </top>
      <bottom style="thin">
        <color rgb="FFE0E2ED"/>
      </bottom>
    </border>
    <border>
      <left style="thin">
        <color rgb="FFE0E2ED"/>
      </left>
      <right style="thin">
        <color rgb="FFAFB4C7"/>
      </right>
      <top style="thin">
        <color rgb="FF4E5B92"/>
      </top>
      <bottom style="thin">
        <color rgb="FFE0E2ED"/>
      </bottom>
    </border>
    <border>
      <left style="thin">
        <color rgb="FFAFB4C7"/>
      </left>
      <right style="thin">
        <color rgb="FFE0E2ED"/>
      </right>
      <bottom style="thin">
        <color rgb="FFE0E2ED"/>
      </bottom>
    </border>
    <border>
      <left style="thin">
        <color rgb="FFE0E2ED"/>
      </left>
      <right style="thin">
        <color rgb="FFE0E2ED"/>
      </right>
      <bottom style="thin">
        <color rgb="FFE0E2ED"/>
      </bottom>
    </border>
    <border>
      <left style="thin">
        <color rgb="FFE0E2ED"/>
      </left>
      <right style="thin">
        <color rgb="FFAFB4C7"/>
      </right>
      <bottom style="thin">
        <color rgb="FFE0E2ED"/>
      </bottom>
    </border>
    <border>
      <left style="thin">
        <color rgb="FFE0E2ED"/>
      </left>
      <right style="thin">
        <color rgb="FFE0E2ED"/>
      </right>
      <top style="thin">
        <color rgb="FFE0E2ED"/>
      </top>
      <bottom style="thin">
        <color rgb="FFE0E2ED"/>
      </bottom>
    </border>
    <border>
      <left style="thin">
        <color rgb="FFE0E2ED"/>
      </left>
      <right style="thin">
        <color rgb="FFAFB4C7"/>
      </right>
      <top style="thin">
        <color rgb="FFE0E2ED"/>
      </top>
      <bottom style="thin">
        <color rgb="FFE0E2ED"/>
      </bottom>
    </border>
    <border>
      <left style="thin">
        <color rgb="FFAFB4C7"/>
      </left>
      <right style="thin">
        <color rgb="FFE0E2ED"/>
      </right>
      <top style="thin">
        <color rgb="FFE0E2ED"/>
      </top>
      <bottom style="thin">
        <color rgb="FFE0E2ED"/>
      </bottom>
    </border>
    <border>
      <left style="thin">
        <color rgb="FFAFB4C7"/>
      </left>
      <top style="thin">
        <color rgb="FFE0E2ED"/>
      </top>
      <bottom style="medium">
        <color rgb="FF4E5B92"/>
      </bottom>
    </border>
    <border>
      <top style="thin">
        <color rgb="FFE0E2ED"/>
      </top>
      <bottom style="medium">
        <color rgb="FF4E5B92"/>
      </bottom>
    </border>
    <border>
      <right style="thin">
        <color rgb="FFE0E2ED"/>
      </right>
      <top style="thin">
        <color rgb="FFE0E2ED"/>
      </top>
      <bottom style="medium">
        <color rgb="FF4E5B92"/>
      </bottom>
    </border>
    <border>
      <left style="thin">
        <color rgb="FFE0E2ED"/>
      </left>
      <right style="thin">
        <color rgb="FFE0E2ED"/>
      </right>
      <top style="thin">
        <color rgb="FFE0E2ED"/>
      </top>
      <bottom style="medium">
        <color rgb="FF4E5B92"/>
      </bottom>
    </border>
    <border>
      <left style="thin">
        <color rgb="FFE0E2ED"/>
      </left>
      <right style="thin">
        <color rgb="FFAFB4C7"/>
      </right>
      <top style="thin">
        <color rgb="FFE0E2ED"/>
      </top>
      <bottom style="medium">
        <color rgb="FF4E5B92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4" fontId="1" numFmtId="0" xfId="0" applyBorder="1" applyFill="1" applyFont="1"/>
    <xf borderId="8" fillId="5" fontId="5" numFmtId="0" xfId="0" applyBorder="1" applyFill="1" applyFont="1"/>
    <xf borderId="8" fillId="4" fontId="6" numFmtId="0" xfId="0" applyAlignment="1" applyBorder="1" applyFill="1" applyFont="1">
      <alignment horizontal="right"/>
    </xf>
    <xf borderId="9" fillId="5" fontId="5" numFmtId="0" xfId="0" applyBorder="1" applyFill="1" applyFont="1"/>
    <xf borderId="10" fillId="6" fontId="7" numFmtId="0" xfId="0" applyAlignment="1" applyBorder="1" applyFill="1" applyFont="1">
      <alignment horizontal="center"/>
    </xf>
    <xf borderId="11" fillId="6" fontId="7" numFmtId="0" xfId="0" applyAlignment="1" applyBorder="1" applyFill="1" applyFont="1">
      <alignment horizontal="center"/>
    </xf>
    <xf borderId="12" fillId="6" fontId="7" numFmtId="0" xfId="0" applyAlignment="1" applyBorder="1" applyFill="1" applyFont="1">
      <alignment horizontal="center"/>
    </xf>
    <xf borderId="13" fillId="4" fontId="1" numFmtId="0" xfId="0" applyBorder="1" applyFill="1" applyFont="1"/>
    <xf borderId="14" fillId="5" fontId="5" numFmtId="0" xfId="0" applyBorder="1" applyFill="1" applyFont="1"/>
    <xf borderId="14" fillId="4" fontId="6" numFmtId="0" xfId="0" applyAlignment="1" applyBorder="1" applyFill="1" applyFont="1">
      <alignment horizontal="right"/>
    </xf>
    <xf borderId="15" fillId="5" fontId="5" numFmtId="164" xfId="0" applyBorder="1" applyFill="1" applyFont="1" applyNumberFormat="1"/>
    <xf borderId="16" fillId="7" fontId="8" numFmtId="3" xfId="0" applyAlignment="1" applyBorder="1" applyFill="1" applyFont="1" applyNumberFormat="1">
      <alignment horizontal="center"/>
    </xf>
    <xf borderId="17" fillId="7" fontId="8" numFmtId="165" xfId="0" applyAlignment="1" applyBorder="1" applyFill="1" applyFont="1" applyNumberFormat="1">
      <alignment horizontal="center"/>
    </xf>
    <xf borderId="18" fillId="7" fontId="8" numFmtId="166" xfId="0" applyAlignment="1" applyBorder="1" applyFill="1" applyFont="1" applyNumberFormat="1">
      <alignment horizontal="center"/>
    </xf>
    <xf borderId="19" fillId="6" fontId="7" numFmtId="0" xfId="0" applyAlignment="1" applyBorder="1" applyFill="1" applyFont="1">
      <alignment horizontal="center" shrinkToFit="0" wrapText="1"/>
    </xf>
    <xf borderId="20" fillId="6" fontId="7" numFmtId="0" xfId="0" applyAlignment="1" applyBorder="1" applyFill="1" applyFont="1">
      <alignment horizontal="center" shrinkToFit="0" wrapText="1"/>
    </xf>
    <xf borderId="21" fillId="6" fontId="7" numFmtId="0" xfId="0" applyAlignment="1" applyBorder="1" applyFill="1" applyFont="1">
      <alignment horizontal="center" shrinkToFit="0" wrapText="1"/>
    </xf>
    <xf borderId="22" fillId="0" fontId="9" numFmtId="0" xfId="0" applyAlignment="1" applyBorder="1" applyFont="1">
      <alignment horizontal="center"/>
    </xf>
    <xf borderId="23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horizontal="center"/>
    </xf>
    <xf borderId="23" fillId="0" fontId="9" numFmtId="0" xfId="0" applyBorder="1" applyFont="1"/>
    <xf borderId="23" fillId="0" fontId="9" numFmtId="165" xfId="0" applyAlignment="1" applyBorder="1" applyFont="1" applyNumberFormat="1">
      <alignment horizontal="right"/>
    </xf>
    <xf borderId="23" fillId="0" fontId="1" numFmtId="165" xfId="0" applyBorder="1" applyFont="1" applyNumberFormat="1"/>
    <xf borderId="23" fillId="0" fontId="10" numFmtId="0" xfId="0" applyAlignment="1" applyBorder="1" applyFont="1">
      <alignment shrinkToFit="0" wrapText="1"/>
    </xf>
    <xf borderId="24" fillId="0" fontId="1" numFmtId="0" xfId="0" applyBorder="1" applyFont="1"/>
    <xf borderId="0" fillId="0" fontId="1" numFmtId="0" xfId="0" applyAlignment="1" applyFont="1">
      <alignment vertical="bottom"/>
    </xf>
    <xf borderId="25" fillId="0" fontId="9" numFmtId="0" xfId="0" applyAlignment="1" applyBorder="1" applyFont="1">
      <alignment shrinkToFit="0" wrapText="1"/>
    </xf>
    <xf borderId="25" fillId="0" fontId="9" numFmtId="0" xfId="0" applyAlignment="1" applyBorder="1" applyFont="1">
      <alignment horizontal="center"/>
    </xf>
    <xf borderId="25" fillId="0" fontId="9" numFmtId="0" xfId="0" applyBorder="1" applyFont="1"/>
    <xf borderId="25" fillId="0" fontId="9" numFmtId="165" xfId="0" applyAlignment="1" applyBorder="1" applyFont="1" applyNumberFormat="1">
      <alignment horizontal="right"/>
    </xf>
    <xf borderId="25" fillId="0" fontId="11" numFmtId="0" xfId="0" applyAlignment="1" applyBorder="1" applyFont="1">
      <alignment shrinkToFit="0" wrapText="1"/>
    </xf>
    <xf borderId="26" fillId="0" fontId="1" numFmtId="0" xfId="0" applyBorder="1" applyFont="1"/>
    <xf borderId="25" fillId="8" fontId="9" numFmtId="0" xfId="0" applyAlignment="1" applyBorder="1" applyFill="1" applyFont="1">
      <alignment shrinkToFit="0" wrapText="1"/>
    </xf>
    <xf borderId="25" fillId="8" fontId="9" numFmtId="165" xfId="0" applyAlignment="1" applyBorder="1" applyFill="1" applyFont="1" applyNumberFormat="1">
      <alignment horizontal="right"/>
    </xf>
    <xf borderId="25" fillId="8" fontId="1" numFmtId="165" xfId="0" applyBorder="1" applyFill="1" applyFont="1" applyNumberFormat="1"/>
    <xf borderId="25" fillId="8" fontId="12" numFmtId="0" xfId="0" applyAlignment="1" applyBorder="1" applyFill="1" applyFont="1">
      <alignment shrinkToFit="0" wrapText="1"/>
    </xf>
    <xf borderId="0" fillId="0" fontId="9" numFmtId="165" xfId="0" applyAlignment="1" applyFont="1" applyNumberFormat="1">
      <alignment horizontal="right" vertical="bottom"/>
    </xf>
    <xf borderId="25" fillId="0" fontId="1" numFmtId="165" xfId="0" applyBorder="1" applyFont="1" applyNumberFormat="1"/>
    <xf borderId="26" fillId="0" fontId="9" numFmtId="0" xfId="0" applyBorder="1" applyFont="1"/>
    <xf borderId="27" fillId="8" fontId="1" numFmtId="0" xfId="0" applyBorder="1" applyFill="1" applyFont="1"/>
    <xf borderId="25" fillId="8" fontId="1" numFmtId="0" xfId="0" applyBorder="1" applyFill="1" applyFont="1"/>
    <xf borderId="25" fillId="0" fontId="1" numFmtId="0" xfId="0" applyBorder="1" applyFont="1"/>
    <xf borderId="27" fillId="0" fontId="1" numFmtId="0" xfId="0" applyBorder="1" applyFont="1"/>
    <xf borderId="25" fillId="0" fontId="1" numFmtId="0" xfId="0" applyBorder="1" applyFont="1"/>
    <xf borderId="27" fillId="8" fontId="1" numFmtId="0" xfId="0" applyBorder="1" applyFill="1" applyFont="1"/>
    <xf borderId="25" fillId="8" fontId="1" numFmtId="0" xfId="0" applyBorder="1" applyFill="1" applyFont="1"/>
    <xf borderId="28" fillId="4" fontId="8" numFmtId="0" xfId="0" applyAlignment="1" applyBorder="1" applyFill="1" applyFont="1">
      <alignment horizontal="right"/>
    </xf>
    <xf borderId="29" fillId="0" fontId="3" numFmtId="0" xfId="0" applyBorder="1" applyFont="1"/>
    <xf borderId="30" fillId="0" fontId="3" numFmtId="0" xfId="0" applyBorder="1" applyFont="1"/>
    <xf borderId="31" fillId="4" fontId="8" numFmtId="165" xfId="0" applyAlignment="1" applyBorder="1" applyFill="1" applyFont="1" applyNumberFormat="1">
      <alignment horizontal="right"/>
    </xf>
    <xf borderId="31" fillId="4" fontId="1" numFmtId="0" xfId="0" applyBorder="1" applyFill="1" applyFont="1"/>
    <xf borderId="32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gl2aHqo9CUdQX5FImkE9P_DaREjsDV1wBgFJClso-Q/edit?usp=sharing" TargetMode="External"/><Relationship Id="rId2" Type="http://schemas.openxmlformats.org/officeDocument/2006/relationships/hyperlink" Target="https://docs.google.com/spreadsheets/d/1_gl2aHqo9CUdQX5FImkE9P_DaREjsDV1wBgFJClso-Q/edit?usp=sharing" TargetMode="External"/><Relationship Id="rId3" Type="http://schemas.openxmlformats.org/officeDocument/2006/relationships/hyperlink" Target="https://docs.google.com/spreadsheets/d/1_gl2aHqo9CUdQX5FImkE9P_DaREjsDV1wBgFJClso-Q/edit?usp=sharing" TargetMode="External"/><Relationship Id="rId4" Type="http://schemas.openxmlformats.org/officeDocument/2006/relationships/hyperlink" Target="https://docs.google.com/spreadsheets/d/1_gl2aHqo9CUdQX5FImkE9P_DaREjsDV1wBgFJClso-Q/edit?usp=sharing" TargetMode="External"/><Relationship Id="rId5" Type="http://schemas.openxmlformats.org/officeDocument/2006/relationships/hyperlink" Target="https://docs.google.com/spreadsheets/d/1_gl2aHqo9CUdQX5FImkE9P_DaREjsDV1wBgFJClso-Q/edit?usp=sharing" TargetMode="External"/><Relationship Id="rId6" Type="http://schemas.openxmlformats.org/officeDocument/2006/relationships/hyperlink" Target="https://docs.google.com/spreadsheets/d/1_gl2aHqo9CUdQX5FImkE9P_DaREjsDV1wBgFJClso-Q/edit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0"/>
    <col customWidth="1" min="3" max="3" width="20.38"/>
    <col customWidth="1" min="4" max="4" width="35.25"/>
    <col customWidth="1" min="7" max="7" width="17.63"/>
    <col customWidth="1" min="8" max="8" width="29.38"/>
    <col customWidth="1" min="9" max="9" width="3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1</v>
      </c>
      <c r="B3" s="6"/>
      <c r="C3" s="6"/>
      <c r="D3" s="6"/>
      <c r="E3" s="6"/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8"/>
      <c r="B5" s="9">
        <v>2.0</v>
      </c>
      <c r="C5" s="10" t="s">
        <v>2</v>
      </c>
      <c r="D5" s="11" t="s">
        <v>3</v>
      </c>
      <c r="E5" s="1"/>
      <c r="F5" s="12" t="s">
        <v>4</v>
      </c>
      <c r="G5" s="13" t="s">
        <v>5</v>
      </c>
      <c r="H5" s="13" t="s">
        <v>6</v>
      </c>
      <c r="I5" s="14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5"/>
      <c r="B6" s="16" t="s">
        <v>8</v>
      </c>
      <c r="C6" s="17" t="s">
        <v>9</v>
      </c>
      <c r="D6" s="18">
        <v>46308.0</v>
      </c>
      <c r="E6" s="1"/>
      <c r="F6" s="19">
        <f>COUNTA(B11:B27)</f>
        <v>13</v>
      </c>
      <c r="G6" s="20">
        <f t="shared" ref="G6:H6" si="1">SUM(E11:E27)</f>
        <v>32</v>
      </c>
      <c r="H6" s="20">
        <f t="shared" si="1"/>
        <v>4</v>
      </c>
      <c r="I6" s="21">
        <f>IF(COUNTA(B11:B27)=0, 0, COUNTIF(G11:G27, "готово") / COUNTA(B11:B27))</f>
        <v>0.9230769231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2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  <c r="I8" s="24" t="s">
        <v>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5">
        <v>1.0</v>
      </c>
      <c r="B9" s="26" t="s">
        <v>19</v>
      </c>
      <c r="C9" s="27" t="s">
        <v>20</v>
      </c>
      <c r="D9" s="28" t="s">
        <v>21</v>
      </c>
      <c r="E9" s="29">
        <v>2.5</v>
      </c>
      <c r="F9" s="30"/>
      <c r="G9" s="27" t="s">
        <v>22</v>
      </c>
      <c r="H9" s="31" t="s">
        <v>23</v>
      </c>
      <c r="I9" s="32"/>
      <c r="J9" s="3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5">
        <v>2.0</v>
      </c>
      <c r="B10" s="26" t="s">
        <v>24</v>
      </c>
      <c r="C10" s="27" t="s">
        <v>25</v>
      </c>
      <c r="D10" s="28" t="s">
        <v>26</v>
      </c>
      <c r="E10" s="29">
        <v>2.5</v>
      </c>
      <c r="F10" s="30"/>
      <c r="G10" s="27" t="s">
        <v>22</v>
      </c>
      <c r="H10" s="31" t="s">
        <v>23</v>
      </c>
      <c r="I10" s="32"/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5">
        <v>3.0</v>
      </c>
      <c r="B11" s="34" t="s">
        <v>27</v>
      </c>
      <c r="C11" s="35" t="s">
        <v>28</v>
      </c>
      <c r="D11" s="36" t="s">
        <v>29</v>
      </c>
      <c r="E11" s="37">
        <v>2.5</v>
      </c>
      <c r="F11" s="37">
        <v>2.0</v>
      </c>
      <c r="G11" s="35" t="s">
        <v>22</v>
      </c>
      <c r="H11" s="38" t="s">
        <v>23</v>
      </c>
      <c r="I11" s="39"/>
      <c r="J11" s="3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5">
        <v>4.0</v>
      </c>
      <c r="B12" s="40" t="s">
        <v>30</v>
      </c>
      <c r="C12" s="35" t="s">
        <v>25</v>
      </c>
      <c r="D12" s="36" t="s">
        <v>31</v>
      </c>
      <c r="E12" s="41">
        <v>2.5</v>
      </c>
      <c r="F12" s="42"/>
      <c r="G12" s="35" t="s">
        <v>22</v>
      </c>
      <c r="H12" s="43" t="s">
        <v>23</v>
      </c>
      <c r="I12" s="3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5">
        <v>5.0</v>
      </c>
      <c r="B13" s="34" t="s">
        <v>32</v>
      </c>
      <c r="C13" s="35" t="s">
        <v>33</v>
      </c>
      <c r="D13" s="36" t="s">
        <v>34</v>
      </c>
      <c r="E13" s="44">
        <v>2.5</v>
      </c>
      <c r="F13" s="45"/>
      <c r="G13" s="35" t="s">
        <v>22</v>
      </c>
      <c r="H13" s="38" t="s">
        <v>23</v>
      </c>
      <c r="I13" s="3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5">
        <v>6.0</v>
      </c>
      <c r="B14" s="40" t="s">
        <v>35</v>
      </c>
      <c r="C14" s="35" t="s">
        <v>36</v>
      </c>
      <c r="D14" s="36" t="s">
        <v>37</v>
      </c>
      <c r="E14" s="41">
        <v>2.0</v>
      </c>
      <c r="F14" s="41">
        <v>2.0</v>
      </c>
      <c r="G14" s="35" t="s">
        <v>22</v>
      </c>
      <c r="H14" s="43" t="s">
        <v>23</v>
      </c>
      <c r="I14" s="3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5">
        <v>7.0</v>
      </c>
      <c r="B15" s="34" t="s">
        <v>38</v>
      </c>
      <c r="C15" s="35" t="s">
        <v>39</v>
      </c>
      <c r="D15" s="36" t="s">
        <v>40</v>
      </c>
      <c r="E15" s="37">
        <v>3.5</v>
      </c>
      <c r="F15" s="45"/>
      <c r="G15" s="35" t="s">
        <v>22</v>
      </c>
      <c r="H15" s="34" t="s">
        <v>41</v>
      </c>
      <c r="I15" s="46" t="s">
        <v>42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5">
        <v>8.0</v>
      </c>
      <c r="B16" s="40" t="s">
        <v>43</v>
      </c>
      <c r="C16" s="35" t="s">
        <v>44</v>
      </c>
      <c r="D16" s="36" t="s">
        <v>42</v>
      </c>
      <c r="E16" s="41">
        <v>2.0</v>
      </c>
      <c r="F16" s="42"/>
      <c r="G16" s="35" t="s">
        <v>22</v>
      </c>
      <c r="H16" s="40" t="s">
        <v>45</v>
      </c>
      <c r="I16" s="46" t="s">
        <v>46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5">
        <v>9.0</v>
      </c>
      <c r="B17" s="34" t="s">
        <v>47</v>
      </c>
      <c r="C17" s="35" t="s">
        <v>39</v>
      </c>
      <c r="D17" s="36" t="s">
        <v>40</v>
      </c>
      <c r="E17" s="37">
        <v>3.5</v>
      </c>
      <c r="F17" s="45"/>
      <c r="G17" s="35" t="s">
        <v>22</v>
      </c>
      <c r="H17" s="34" t="s">
        <v>48</v>
      </c>
      <c r="I17" s="46" t="s">
        <v>46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5">
        <v>10.0</v>
      </c>
      <c r="B18" s="40" t="s">
        <v>49</v>
      </c>
      <c r="C18" s="35" t="s">
        <v>50</v>
      </c>
      <c r="D18" s="36" t="s">
        <v>51</v>
      </c>
      <c r="E18" s="41">
        <v>3.0</v>
      </c>
      <c r="F18" s="42"/>
      <c r="G18" s="35" t="s">
        <v>22</v>
      </c>
      <c r="H18" s="40" t="s">
        <v>52</v>
      </c>
      <c r="I18" s="46" t="s">
        <v>40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5">
        <v>11.0</v>
      </c>
      <c r="B19" s="34" t="s">
        <v>53</v>
      </c>
      <c r="C19" s="35" t="s">
        <v>50</v>
      </c>
      <c r="D19" s="36" t="s">
        <v>51</v>
      </c>
      <c r="E19" s="37">
        <v>3.5</v>
      </c>
      <c r="F19" s="45"/>
      <c r="G19" s="35" t="s">
        <v>22</v>
      </c>
      <c r="H19" s="34" t="s">
        <v>54</v>
      </c>
      <c r="I19" s="46" t="s">
        <v>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5">
        <v>12.0</v>
      </c>
      <c r="B20" s="40" t="s">
        <v>55</v>
      </c>
      <c r="C20" s="35" t="s">
        <v>50</v>
      </c>
      <c r="D20" s="36" t="s">
        <v>51</v>
      </c>
      <c r="E20" s="41">
        <v>1.5</v>
      </c>
      <c r="F20" s="42"/>
      <c r="G20" s="35" t="s">
        <v>22</v>
      </c>
      <c r="H20" s="40" t="s">
        <v>56</v>
      </c>
      <c r="I20" s="46" t="s">
        <v>40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5">
        <v>13.0</v>
      </c>
      <c r="B21" s="34" t="s">
        <v>57</v>
      </c>
      <c r="C21" s="35" t="s">
        <v>58</v>
      </c>
      <c r="D21" s="36" t="s">
        <v>46</v>
      </c>
      <c r="E21" s="37">
        <v>2.5</v>
      </c>
      <c r="F21" s="45"/>
      <c r="G21" s="35" t="s">
        <v>22</v>
      </c>
      <c r="H21" s="34" t="s">
        <v>59</v>
      </c>
      <c r="I21" s="46" t="s">
        <v>42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5">
        <v>14.0</v>
      </c>
      <c r="B22" s="40" t="s">
        <v>60</v>
      </c>
      <c r="C22" s="35" t="s">
        <v>44</v>
      </c>
      <c r="D22" s="36" t="s">
        <v>42</v>
      </c>
      <c r="E22" s="41">
        <v>2.0</v>
      </c>
      <c r="F22" s="42"/>
      <c r="G22" s="35" t="s">
        <v>22</v>
      </c>
      <c r="H22" s="40" t="s">
        <v>61</v>
      </c>
      <c r="I22" s="46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5">
        <v>15.0</v>
      </c>
      <c r="B23" s="34" t="s">
        <v>62</v>
      </c>
      <c r="C23" s="35" t="s">
        <v>58</v>
      </c>
      <c r="D23" s="36" t="s">
        <v>46</v>
      </c>
      <c r="E23" s="37">
        <v>1.0</v>
      </c>
      <c r="F23" s="45"/>
      <c r="G23" s="35" t="s">
        <v>63</v>
      </c>
      <c r="H23" s="34" t="s">
        <v>64</v>
      </c>
      <c r="I23" s="3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47"/>
      <c r="B24" s="48"/>
      <c r="C24" s="49"/>
      <c r="D24" s="49"/>
      <c r="E24" s="42"/>
      <c r="F24" s="42"/>
      <c r="G24" s="49"/>
      <c r="H24" s="48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50"/>
      <c r="B25" s="51"/>
      <c r="C25" s="51"/>
      <c r="D25" s="49"/>
      <c r="E25" s="45"/>
      <c r="F25" s="45"/>
      <c r="G25" s="51"/>
      <c r="H25" s="51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52"/>
      <c r="B26" s="53"/>
      <c r="C26" s="51"/>
      <c r="D26" s="49"/>
      <c r="E26" s="42"/>
      <c r="F26" s="42"/>
      <c r="G26" s="51"/>
      <c r="H26" s="53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50"/>
      <c r="B27" s="51"/>
      <c r="C27" s="51"/>
      <c r="D27" s="49"/>
      <c r="E27" s="45"/>
      <c r="F27" s="45"/>
      <c r="G27" s="51"/>
      <c r="H27" s="51"/>
      <c r="I27" s="3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54" t="s">
        <v>65</v>
      </c>
      <c r="B28" s="55"/>
      <c r="C28" s="55"/>
      <c r="D28" s="56"/>
      <c r="E28" s="57">
        <f t="shared" ref="E28:F28" si="2">SUM(E11:E27)</f>
        <v>32</v>
      </c>
      <c r="F28" s="57">
        <f t="shared" si="2"/>
        <v>4</v>
      </c>
      <c r="G28" s="58"/>
      <c r="H28" s="58"/>
      <c r="I28" s="5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3">
    <mergeCell ref="A2:I2"/>
    <mergeCell ref="A3:I3"/>
    <mergeCell ref="A28:D28"/>
  </mergeCells>
  <dataValidations>
    <dataValidation type="list" allowBlank="1" sqref="G9:G27">
      <formula1>"готово,в процесі,на рев'ю,до виконання,заблоковано"</formula1>
    </dataValidation>
    <dataValidation type="list" allowBlank="1" showErrorMessage="1" sqref="D9:D14">
      <formula1>"Оніщук Ілля,Свідзінський Антон,Однораз Олександр,Дубчак Богдан"</formula1>
    </dataValidation>
    <dataValidation type="list" allowBlank="1" showErrorMessage="1" sqref="I9:I27">
      <formula1>"Однораз Олександр,Свідзінський Антон,Оніщук Ілля,Дубчак Богдан"</formula1>
    </dataValidation>
    <dataValidation type="list" allowBlank="1" sqref="C9:C27">
      <formula1>"КТ,ТА,ІТ,СМ"</formula1>
    </dataValidation>
    <dataValidation type="list" allowBlank="1" showErrorMessage="1" sqref="D15:D27">
      <formula1>"Оніщук Ілля,Свідзінський Антон,Однораз Олександр,Дубчак Богдан"</formula1>
    </dataValidation>
  </dataValidations>
  <hyperlinks>
    <hyperlink r:id="rId1" ref="H9"/>
    <hyperlink r:id="rId2" ref="H10"/>
    <hyperlink r:id="rId3" ref="H11"/>
    <hyperlink r:id="rId4" ref="H12"/>
    <hyperlink r:id="rId5" ref="H13"/>
    <hyperlink r:id="rId6" ref="H14"/>
  </hyperlinks>
  <drawing r:id="rId7"/>
</worksheet>
</file>